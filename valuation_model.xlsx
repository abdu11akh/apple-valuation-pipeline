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bdullohmirzaev/Desktop/"/>
    </mc:Choice>
  </mc:AlternateContent>
  <xr:revisionPtr revIDLastSave="0" documentId="13_ncr:1_{76D3B8F5-58F7-324B-9A6D-E262675C74FA}" xr6:coauthVersionLast="47" xr6:coauthVersionMax="47" xr10:uidLastSave="{00000000-0000-0000-0000-000000000000}"/>
  <bookViews>
    <workbookView xWindow="25600" yWindow="600" windowWidth="25600" windowHeight="26340" xr2:uid="{00000000-000D-0000-FFFF-FFFF00000000}"/>
  </bookViews>
  <sheets>
    <sheet name="Raw Data" sheetId="1" r:id="rId1"/>
    <sheet name="DCF" sheetId="2" r:id="rId2"/>
    <sheet name="Com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3" l="1"/>
  <c r="A23" i="3"/>
  <c r="A21" i="3"/>
  <c r="A18" i="3"/>
  <c r="A16" i="3"/>
  <c r="A13" i="3"/>
  <c r="A11" i="3"/>
  <c r="A9" i="3"/>
  <c r="O6" i="3"/>
  <c r="N6" i="3"/>
  <c r="M6" i="3"/>
  <c r="O3" i="3"/>
  <c r="O4" i="3"/>
  <c r="N3" i="3"/>
  <c r="N4" i="3"/>
  <c r="M3" i="3"/>
  <c r="M4" i="3"/>
  <c r="O2" i="3"/>
  <c r="N2" i="3"/>
  <c r="M2" i="3"/>
  <c r="L3" i="3"/>
  <c r="L4" i="3"/>
  <c r="L2" i="3"/>
  <c r="K3" i="3"/>
  <c r="K4" i="3"/>
  <c r="J3" i="3"/>
  <c r="J4" i="3"/>
  <c r="K2" i="3"/>
  <c r="J2" i="3"/>
  <c r="B43" i="2"/>
  <c r="B44" i="2"/>
  <c r="B45" i="2"/>
  <c r="B46" i="2"/>
  <c r="F43" i="2"/>
  <c r="F44" i="2"/>
  <c r="F45" i="2"/>
  <c r="F46" i="2"/>
  <c r="E43" i="2"/>
  <c r="E44" i="2"/>
  <c r="E45" i="2"/>
  <c r="E46" i="2"/>
  <c r="D43" i="2"/>
  <c r="D44" i="2"/>
  <c r="D45" i="2"/>
  <c r="D46" i="2"/>
  <c r="C43" i="2"/>
  <c r="C44" i="2"/>
  <c r="C45" i="2"/>
  <c r="C46" i="2"/>
  <c r="C42" i="2"/>
  <c r="D42" i="2"/>
  <c r="E42" i="2"/>
  <c r="F42" i="2"/>
  <c r="B42" i="2"/>
  <c r="J39" i="2"/>
  <c r="J37" i="2"/>
  <c r="J35" i="2"/>
  <c r="J27" i="2"/>
  <c r="J25" i="2"/>
  <c r="L13" i="2"/>
  <c r="L14" i="2"/>
  <c r="L15" i="2"/>
  <c r="L16" i="2"/>
  <c r="L12" i="2"/>
  <c r="K16" i="2"/>
  <c r="K15" i="2"/>
  <c r="K14" i="2"/>
  <c r="K13" i="2"/>
  <c r="K12" i="2"/>
  <c r="J23" i="2"/>
  <c r="H14" i="2"/>
  <c r="H15" i="2" s="1"/>
  <c r="H16" i="2" s="1"/>
  <c r="H13" i="2"/>
  <c r="H12" i="2"/>
  <c r="J2" i="2"/>
  <c r="H3" i="2"/>
  <c r="H4" i="2"/>
  <c r="H5" i="2"/>
  <c r="H6" i="2"/>
  <c r="H7" i="2"/>
  <c r="H8" i="2"/>
  <c r="H2" i="2"/>
</calcChain>
</file>

<file path=xl/sharedStrings.xml><?xml version="1.0" encoding="utf-8"?>
<sst xmlns="http://schemas.openxmlformats.org/spreadsheetml/2006/main" count="108" uniqueCount="52">
  <si>
    <t>ticker</t>
  </si>
  <si>
    <t>fiscal_year</t>
  </si>
  <si>
    <t>NetIncome</t>
  </si>
  <si>
    <t>OperatingIncome</t>
  </si>
  <si>
    <t>Revenue</t>
  </si>
  <si>
    <t>AAPL</t>
  </si>
  <si>
    <t>GOOGL</t>
  </si>
  <si>
    <t>MSFT</t>
  </si>
  <si>
    <t>Fiscal Year</t>
  </si>
  <si>
    <t>Operating Income</t>
  </si>
  <si>
    <t>Net Income</t>
  </si>
  <si>
    <t>D&amp;A</t>
  </si>
  <si>
    <t>CapEx</t>
  </si>
  <si>
    <t>Tax Rate</t>
  </si>
  <si>
    <t>FCF</t>
  </si>
  <si>
    <t>Avg Growth Rate</t>
  </si>
  <si>
    <t>Growth Rate</t>
  </si>
  <si>
    <t>Projected FCF</t>
  </si>
  <si>
    <t>WACC</t>
  </si>
  <si>
    <t>Terminal Growth Rate</t>
  </si>
  <si>
    <t>Terminal Value</t>
  </si>
  <si>
    <t>Discount Factor</t>
  </si>
  <si>
    <t>PV of FCF</t>
  </si>
  <si>
    <t>PV of Terminal Value</t>
  </si>
  <si>
    <t>Enterprise Value</t>
  </si>
  <si>
    <t>Total Debt</t>
  </si>
  <si>
    <t>Cash&amp;Equivalents</t>
  </si>
  <si>
    <t>Shares Outstanding</t>
  </si>
  <si>
    <t>Net Debt</t>
  </si>
  <si>
    <t>Equity Value</t>
  </si>
  <si>
    <t>Value Per Share</t>
  </si>
  <si>
    <t>Ticker</t>
  </si>
  <si>
    <t>Price</t>
  </si>
  <si>
    <t>Shares</t>
  </si>
  <si>
    <t>OpIncome</t>
  </si>
  <si>
    <t>TotalDebt</t>
  </si>
  <si>
    <t>Cash</t>
  </si>
  <si>
    <t>EBITDA</t>
  </si>
  <si>
    <t>MarketCap</t>
  </si>
  <si>
    <t>EV</t>
  </si>
  <si>
    <t>EV/Revenue</t>
  </si>
  <si>
    <t>EV/EBITDA</t>
  </si>
  <si>
    <t>P/E</t>
  </si>
  <si>
    <t>Median Comp Multiples</t>
  </si>
  <si>
    <t>Implied EV(Revenue multiple)</t>
  </si>
  <si>
    <t>Implied EV(EBITDA multiple)</t>
  </si>
  <si>
    <t>Implied Equity Value</t>
  </si>
  <si>
    <t>Implied Equity Value(from Revenue multiple)</t>
  </si>
  <si>
    <t>Implied Equity Value(from EBITDA multiple)</t>
  </si>
  <si>
    <t>Value/Share(Revenue multiple)</t>
  </si>
  <si>
    <t>Value/Share(EBITDA multiple)</t>
  </si>
  <si>
    <t>Value/Share(P/E multiple)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</si>
</sst>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I30" sqref="I30"/>
    </sheetView>
  </sheetViews>
  <sheetFormatPr baseColWidth="10" defaultColWidth="8.83203125" defaultRowHeight="15" x14ac:dyDescent="0.2"/>
  <cols>
    <col min="2" max="2" width="9" bestFit="1" customWidth="1"/>
    <col min="3" max="5" width="15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2007</v>
      </c>
      <c r="C2" s="2">
        <v>3495000000</v>
      </c>
      <c r="D2" s="2">
        <v>4407000000</v>
      </c>
      <c r="E2" s="2">
        <v>24578000000</v>
      </c>
    </row>
    <row r="3" spans="1:5" x14ac:dyDescent="0.2">
      <c r="A3" t="s">
        <v>5</v>
      </c>
      <c r="B3">
        <v>2008</v>
      </c>
      <c r="C3" s="2">
        <v>6119000000</v>
      </c>
      <c r="D3" s="2">
        <v>8327000000</v>
      </c>
      <c r="E3" s="2">
        <v>37491000000</v>
      </c>
    </row>
    <row r="4" spans="1:5" x14ac:dyDescent="0.2">
      <c r="A4" t="s">
        <v>5</v>
      </c>
      <c r="B4">
        <v>2009</v>
      </c>
      <c r="C4" s="2">
        <v>8235000000</v>
      </c>
      <c r="D4" s="2">
        <v>11740000000</v>
      </c>
      <c r="E4" s="2">
        <v>42905000000</v>
      </c>
    </row>
    <row r="5" spans="1:5" x14ac:dyDescent="0.2">
      <c r="A5" t="s">
        <v>5</v>
      </c>
      <c r="B5">
        <v>2010</v>
      </c>
      <c r="C5" s="2">
        <v>14013000000</v>
      </c>
      <c r="D5" s="2">
        <v>18385000000</v>
      </c>
      <c r="E5" s="2">
        <v>65225000000</v>
      </c>
    </row>
    <row r="6" spans="1:5" x14ac:dyDescent="0.2">
      <c r="A6" t="s">
        <v>5</v>
      </c>
      <c r="B6">
        <v>2011</v>
      </c>
      <c r="C6" s="2">
        <v>25922000000</v>
      </c>
      <c r="D6" s="2">
        <v>33790000000</v>
      </c>
      <c r="E6" s="2">
        <v>108249000000</v>
      </c>
    </row>
    <row r="7" spans="1:5" x14ac:dyDescent="0.2">
      <c r="A7" t="s">
        <v>5</v>
      </c>
      <c r="B7">
        <v>2012</v>
      </c>
      <c r="C7" s="2">
        <v>41733000000</v>
      </c>
      <c r="D7" s="2">
        <v>55241000000</v>
      </c>
      <c r="E7" s="2">
        <v>156508000000</v>
      </c>
    </row>
    <row r="8" spans="1:5" x14ac:dyDescent="0.2">
      <c r="A8" t="s">
        <v>5</v>
      </c>
      <c r="B8">
        <v>2013</v>
      </c>
      <c r="C8" s="2">
        <v>37037000000</v>
      </c>
      <c r="D8" s="2">
        <v>48999000000</v>
      </c>
      <c r="E8" s="2">
        <v>170910000000</v>
      </c>
    </row>
    <row r="9" spans="1:5" x14ac:dyDescent="0.2">
      <c r="A9" t="s">
        <v>5</v>
      </c>
      <c r="B9">
        <v>2014</v>
      </c>
      <c r="C9" s="2">
        <v>39510000000</v>
      </c>
      <c r="D9" s="2">
        <v>52503000000</v>
      </c>
      <c r="E9" s="2">
        <v>182795000000</v>
      </c>
    </row>
    <row r="10" spans="1:5" x14ac:dyDescent="0.2">
      <c r="A10" t="s">
        <v>5</v>
      </c>
      <c r="B10">
        <v>2015</v>
      </c>
      <c r="C10" s="2">
        <v>53394000000</v>
      </c>
      <c r="D10" s="2">
        <v>71230000000</v>
      </c>
      <c r="E10" s="2">
        <v>233715000000</v>
      </c>
    </row>
    <row r="11" spans="1:5" x14ac:dyDescent="0.2">
      <c r="A11" t="s">
        <v>5</v>
      </c>
      <c r="B11">
        <v>2016</v>
      </c>
      <c r="C11" s="2">
        <v>45687000000</v>
      </c>
      <c r="D11" s="2">
        <v>60024000000</v>
      </c>
      <c r="E11" s="2">
        <v>215639000000</v>
      </c>
    </row>
    <row r="12" spans="1:5" x14ac:dyDescent="0.2">
      <c r="A12" t="s">
        <v>5</v>
      </c>
      <c r="B12">
        <v>2017</v>
      </c>
      <c r="C12" s="2">
        <v>48351000000</v>
      </c>
      <c r="D12" s="2">
        <v>61344000000</v>
      </c>
      <c r="E12" s="2">
        <v>229234000000</v>
      </c>
    </row>
    <row r="13" spans="1:5" x14ac:dyDescent="0.2">
      <c r="A13" t="s">
        <v>5</v>
      </c>
      <c r="B13">
        <v>2018</v>
      </c>
      <c r="C13" s="2">
        <v>59531000000</v>
      </c>
      <c r="D13" s="2">
        <v>70898000000</v>
      </c>
      <c r="E13" s="2">
        <v>265595000000</v>
      </c>
    </row>
    <row r="14" spans="1:5" x14ac:dyDescent="0.2">
      <c r="A14" t="s">
        <v>5</v>
      </c>
      <c r="B14">
        <v>2019</v>
      </c>
      <c r="C14" s="2">
        <v>55256000000</v>
      </c>
      <c r="D14" s="2">
        <v>63930000000</v>
      </c>
      <c r="E14" s="2">
        <v>260174000000</v>
      </c>
    </row>
    <row r="15" spans="1:5" x14ac:dyDescent="0.2">
      <c r="A15" t="s">
        <v>5</v>
      </c>
      <c r="B15">
        <v>2020</v>
      </c>
      <c r="C15" s="2">
        <v>57411000000</v>
      </c>
      <c r="D15" s="2">
        <v>66288000000</v>
      </c>
      <c r="E15" s="2">
        <v>274515000000</v>
      </c>
    </row>
    <row r="16" spans="1:5" x14ac:dyDescent="0.2">
      <c r="A16" t="s">
        <v>5</v>
      </c>
      <c r="B16">
        <v>2021</v>
      </c>
      <c r="C16" s="2">
        <v>94680000000</v>
      </c>
      <c r="D16" s="2">
        <v>108949000000</v>
      </c>
      <c r="E16" s="2">
        <v>365817000000</v>
      </c>
    </row>
    <row r="17" spans="1:5" x14ac:dyDescent="0.2">
      <c r="A17" t="s">
        <v>5</v>
      </c>
      <c r="B17">
        <v>2022</v>
      </c>
      <c r="C17" s="2">
        <v>99803000000</v>
      </c>
      <c r="D17" s="2">
        <v>119437000000</v>
      </c>
      <c r="E17" s="2">
        <v>394328000000</v>
      </c>
    </row>
    <row r="18" spans="1:5" x14ac:dyDescent="0.2">
      <c r="A18" t="s">
        <v>5</v>
      </c>
      <c r="B18">
        <v>2023</v>
      </c>
      <c r="C18" s="2">
        <v>96995000000</v>
      </c>
      <c r="D18" s="2">
        <v>114301000000</v>
      </c>
      <c r="E18" s="2">
        <v>383285000000</v>
      </c>
    </row>
    <row r="19" spans="1:5" x14ac:dyDescent="0.2">
      <c r="A19" t="s">
        <v>5</v>
      </c>
      <c r="B19">
        <v>2024</v>
      </c>
      <c r="C19" s="2">
        <v>93736000000</v>
      </c>
      <c r="D19" s="2">
        <v>123216000000</v>
      </c>
      <c r="E19" s="2">
        <v>391035000000</v>
      </c>
    </row>
    <row r="20" spans="1:5" x14ac:dyDescent="0.2">
      <c r="A20" t="s">
        <v>5</v>
      </c>
      <c r="B20">
        <v>2025</v>
      </c>
      <c r="C20" s="2">
        <v>112010000000</v>
      </c>
      <c r="D20" s="2">
        <v>133050000000</v>
      </c>
      <c r="E20" s="2">
        <v>416161000000</v>
      </c>
    </row>
    <row r="21" spans="1:5" x14ac:dyDescent="0.2">
      <c r="A21" t="s">
        <v>6</v>
      </c>
      <c r="B21">
        <v>2013</v>
      </c>
      <c r="C21" s="2">
        <v>12733000000</v>
      </c>
      <c r="D21" s="2">
        <v>15403000000</v>
      </c>
      <c r="E21" s="2">
        <v>55519000000</v>
      </c>
    </row>
    <row r="22" spans="1:5" x14ac:dyDescent="0.2">
      <c r="A22" t="s">
        <v>6</v>
      </c>
      <c r="B22">
        <v>2014</v>
      </c>
      <c r="C22" s="2">
        <v>14136000000</v>
      </c>
      <c r="D22" s="2">
        <v>16496000000</v>
      </c>
      <c r="E22" s="2">
        <v>66001000000</v>
      </c>
    </row>
    <row r="23" spans="1:5" x14ac:dyDescent="0.2">
      <c r="A23" t="s">
        <v>6</v>
      </c>
      <c r="B23">
        <v>2015</v>
      </c>
      <c r="C23" s="2">
        <v>16348000000</v>
      </c>
      <c r="D23" s="2">
        <v>19360000000</v>
      </c>
      <c r="E23" s="2">
        <v>74989000000</v>
      </c>
    </row>
    <row r="24" spans="1:5" x14ac:dyDescent="0.2">
      <c r="A24" t="s">
        <v>6</v>
      </c>
      <c r="B24">
        <v>2016</v>
      </c>
      <c r="C24" s="2">
        <v>19478000000</v>
      </c>
      <c r="D24" s="2">
        <v>23716000000</v>
      </c>
      <c r="E24" s="2">
        <v>90272000000</v>
      </c>
    </row>
    <row r="25" spans="1:5" x14ac:dyDescent="0.2">
      <c r="A25" t="s">
        <v>6</v>
      </c>
      <c r="B25">
        <v>2017</v>
      </c>
      <c r="C25" s="2">
        <v>12662000000</v>
      </c>
      <c r="D25" s="2">
        <v>26178000000</v>
      </c>
      <c r="E25" s="2">
        <v>110855000000</v>
      </c>
    </row>
    <row r="26" spans="1:5" x14ac:dyDescent="0.2">
      <c r="A26" t="s">
        <v>6</v>
      </c>
      <c r="B26">
        <v>2018</v>
      </c>
      <c r="C26" s="2">
        <v>30736000000</v>
      </c>
      <c r="D26" s="2">
        <v>27524000000</v>
      </c>
      <c r="E26" s="2">
        <v>136819000000</v>
      </c>
    </row>
    <row r="27" spans="1:5" x14ac:dyDescent="0.2">
      <c r="A27" t="s">
        <v>6</v>
      </c>
      <c r="B27">
        <v>2019</v>
      </c>
      <c r="C27" s="2">
        <v>34343000000</v>
      </c>
      <c r="D27" s="2">
        <v>34231000000</v>
      </c>
      <c r="E27" s="2">
        <v>161857000000</v>
      </c>
    </row>
    <row r="28" spans="1:5" x14ac:dyDescent="0.2">
      <c r="A28" t="s">
        <v>6</v>
      </c>
      <c r="B28">
        <v>2020</v>
      </c>
      <c r="C28" s="2">
        <v>40269000000</v>
      </c>
      <c r="D28" s="2">
        <v>41224000000</v>
      </c>
      <c r="E28" s="2">
        <v>182527000000</v>
      </c>
    </row>
    <row r="29" spans="1:5" x14ac:dyDescent="0.2">
      <c r="A29" t="s">
        <v>6</v>
      </c>
      <c r="B29">
        <v>2021</v>
      </c>
      <c r="C29" s="2">
        <v>76033000000</v>
      </c>
      <c r="D29" s="2">
        <v>78714000000</v>
      </c>
      <c r="E29" s="2">
        <v>257637000000</v>
      </c>
    </row>
    <row r="30" spans="1:5" x14ac:dyDescent="0.2">
      <c r="A30" t="s">
        <v>6</v>
      </c>
      <c r="B30">
        <v>2022</v>
      </c>
      <c r="C30" s="2">
        <v>59972000000</v>
      </c>
      <c r="D30" s="2">
        <v>74842000000</v>
      </c>
      <c r="E30" s="2">
        <v>282836000000</v>
      </c>
    </row>
    <row r="31" spans="1:5" x14ac:dyDescent="0.2">
      <c r="A31" t="s">
        <v>6</v>
      </c>
      <c r="B31">
        <v>2023</v>
      </c>
      <c r="C31" s="2">
        <v>73795000000</v>
      </c>
      <c r="D31" s="2">
        <v>84293000000</v>
      </c>
      <c r="E31" s="2">
        <v>307394000000</v>
      </c>
    </row>
    <row r="32" spans="1:5" x14ac:dyDescent="0.2">
      <c r="A32" t="s">
        <v>6</v>
      </c>
      <c r="B32">
        <v>2024</v>
      </c>
      <c r="C32" s="2">
        <v>100118000000</v>
      </c>
      <c r="D32" s="2">
        <v>112390000000</v>
      </c>
      <c r="E32" s="2">
        <v>350018000000</v>
      </c>
    </row>
    <row r="33" spans="1:5" x14ac:dyDescent="0.2">
      <c r="A33" t="s">
        <v>6</v>
      </c>
      <c r="B33">
        <v>2025</v>
      </c>
      <c r="C33" s="2">
        <v>132170000000</v>
      </c>
      <c r="D33" s="2">
        <v>129039000000</v>
      </c>
      <c r="E33" s="2">
        <v>402836000000</v>
      </c>
    </row>
    <row r="34" spans="1:5" x14ac:dyDescent="0.2">
      <c r="A34" t="s">
        <v>7</v>
      </c>
      <c r="B34">
        <v>2008</v>
      </c>
      <c r="C34" s="2">
        <v>17681000000</v>
      </c>
      <c r="D34" s="2">
        <v>22271000000</v>
      </c>
      <c r="E34" s="2">
        <v>60420000000</v>
      </c>
    </row>
    <row r="35" spans="1:5" x14ac:dyDescent="0.2">
      <c r="A35" t="s">
        <v>7</v>
      </c>
      <c r="B35">
        <v>2009</v>
      </c>
      <c r="C35" s="2">
        <v>14569000000</v>
      </c>
      <c r="D35" s="2">
        <v>20363000000</v>
      </c>
      <c r="E35" s="2">
        <v>58437000000</v>
      </c>
    </row>
    <row r="36" spans="1:5" x14ac:dyDescent="0.2">
      <c r="A36" t="s">
        <v>7</v>
      </c>
      <c r="B36">
        <v>2010</v>
      </c>
      <c r="C36" s="2">
        <v>18760000000</v>
      </c>
      <c r="D36" s="2">
        <v>24098000000</v>
      </c>
      <c r="E36" s="2">
        <v>62484000000</v>
      </c>
    </row>
    <row r="37" spans="1:5" x14ac:dyDescent="0.2">
      <c r="A37" t="s">
        <v>7</v>
      </c>
      <c r="B37">
        <v>2011</v>
      </c>
      <c r="C37" s="2">
        <v>23150000000</v>
      </c>
      <c r="D37" s="2">
        <v>27161000000</v>
      </c>
      <c r="E37" s="2">
        <v>69943000000</v>
      </c>
    </row>
    <row r="38" spans="1:5" x14ac:dyDescent="0.2">
      <c r="A38" t="s">
        <v>7</v>
      </c>
      <c r="B38">
        <v>2012</v>
      </c>
      <c r="C38" s="2">
        <v>16978000000</v>
      </c>
      <c r="D38" s="2">
        <v>21763000000</v>
      </c>
      <c r="E38" s="2">
        <v>73723000000</v>
      </c>
    </row>
    <row r="39" spans="1:5" x14ac:dyDescent="0.2">
      <c r="A39" t="s">
        <v>7</v>
      </c>
      <c r="B39">
        <v>2013</v>
      </c>
      <c r="C39" s="2">
        <v>21863000000</v>
      </c>
      <c r="D39" s="2">
        <v>26764000000</v>
      </c>
      <c r="E39" s="2">
        <v>77849000000</v>
      </c>
    </row>
    <row r="40" spans="1:5" x14ac:dyDescent="0.2">
      <c r="A40" t="s">
        <v>7</v>
      </c>
      <c r="B40">
        <v>2014</v>
      </c>
      <c r="C40" s="2">
        <v>22074000000</v>
      </c>
      <c r="D40" s="2">
        <v>27759000000</v>
      </c>
      <c r="E40" s="2">
        <v>86833000000</v>
      </c>
    </row>
    <row r="41" spans="1:5" x14ac:dyDescent="0.2">
      <c r="A41" t="s">
        <v>7</v>
      </c>
      <c r="B41">
        <v>2015</v>
      </c>
      <c r="C41" s="2">
        <v>12193000000</v>
      </c>
      <c r="D41" s="2">
        <v>18161000000</v>
      </c>
      <c r="E41" s="2">
        <v>93580000000</v>
      </c>
    </row>
    <row r="42" spans="1:5" x14ac:dyDescent="0.2">
      <c r="A42" t="s">
        <v>7</v>
      </c>
      <c r="B42">
        <v>2016</v>
      </c>
      <c r="C42" s="2">
        <v>20539000000</v>
      </c>
      <c r="D42" s="2">
        <v>26078000000</v>
      </c>
      <c r="E42" s="2">
        <v>85320000000</v>
      </c>
    </row>
    <row r="43" spans="1:5" x14ac:dyDescent="0.2">
      <c r="A43" t="s">
        <v>7</v>
      </c>
      <c r="B43">
        <v>2017</v>
      </c>
      <c r="C43" s="2">
        <v>25489000000</v>
      </c>
      <c r="D43" s="2">
        <v>29025000000</v>
      </c>
      <c r="E43" s="2">
        <v>89950000000</v>
      </c>
    </row>
    <row r="44" spans="1:5" x14ac:dyDescent="0.2">
      <c r="A44" t="s">
        <v>7</v>
      </c>
      <c r="B44">
        <v>2018</v>
      </c>
      <c r="C44" s="2">
        <v>16571000000</v>
      </c>
      <c r="D44" s="2">
        <v>35058000000</v>
      </c>
      <c r="E44" s="2">
        <v>110360000000</v>
      </c>
    </row>
    <row r="45" spans="1:5" x14ac:dyDescent="0.2">
      <c r="A45" t="s">
        <v>7</v>
      </c>
      <c r="B45">
        <v>2019</v>
      </c>
      <c r="C45" s="2">
        <v>39240000000</v>
      </c>
      <c r="D45" s="2">
        <v>42959000000</v>
      </c>
      <c r="E45" s="2">
        <v>125843000000</v>
      </c>
    </row>
    <row r="46" spans="1:5" x14ac:dyDescent="0.2">
      <c r="A46" t="s">
        <v>7</v>
      </c>
      <c r="B46">
        <v>2020</v>
      </c>
      <c r="C46" s="2">
        <v>44281000000</v>
      </c>
      <c r="D46" s="2">
        <v>52959000000</v>
      </c>
      <c r="E46" s="2">
        <v>143015000000</v>
      </c>
    </row>
    <row r="47" spans="1:5" x14ac:dyDescent="0.2">
      <c r="A47" t="s">
        <v>7</v>
      </c>
      <c r="B47">
        <v>2021</v>
      </c>
      <c r="C47" s="2">
        <v>61271000000</v>
      </c>
      <c r="D47" s="2">
        <v>69916000000</v>
      </c>
      <c r="E47" s="2">
        <v>168088000000</v>
      </c>
    </row>
    <row r="48" spans="1:5" x14ac:dyDescent="0.2">
      <c r="A48" t="s">
        <v>7</v>
      </c>
      <c r="B48">
        <v>2022</v>
      </c>
      <c r="C48" s="2">
        <v>72738000000</v>
      </c>
      <c r="D48" s="2">
        <v>83383000000</v>
      </c>
      <c r="E48" s="2">
        <v>198270000000</v>
      </c>
    </row>
    <row r="49" spans="1:5" x14ac:dyDescent="0.2">
      <c r="A49" t="s">
        <v>7</v>
      </c>
      <c r="B49">
        <v>2023</v>
      </c>
      <c r="C49" s="2">
        <v>72361000000</v>
      </c>
      <c r="D49" s="2">
        <v>88523000000</v>
      </c>
      <c r="E49" s="2">
        <v>211915000000</v>
      </c>
    </row>
    <row r="50" spans="1:5" x14ac:dyDescent="0.2">
      <c r="A50" t="s">
        <v>7</v>
      </c>
      <c r="B50">
        <v>2024</v>
      </c>
      <c r="C50" s="2">
        <v>88136000000</v>
      </c>
      <c r="D50" s="2">
        <v>109433000000</v>
      </c>
      <c r="E50" s="2">
        <v>245122000000</v>
      </c>
    </row>
    <row r="51" spans="1:5" x14ac:dyDescent="0.2">
      <c r="A51" t="s">
        <v>7</v>
      </c>
      <c r="B51">
        <v>2025</v>
      </c>
      <c r="C51" s="2">
        <v>101832000000</v>
      </c>
      <c r="D51" s="2">
        <v>128528000000</v>
      </c>
      <c r="E51" s="2">
        <v>281724000000</v>
      </c>
    </row>
    <row r="52" spans="1:5" x14ac:dyDescent="0.2">
      <c r="A52" t="s">
        <v>7</v>
      </c>
      <c r="B52">
        <v>2026</v>
      </c>
      <c r="C52" s="2">
        <v>133749000000</v>
      </c>
      <c r="D52" s="2">
        <v>155237000000</v>
      </c>
      <c r="E52" s="2">
        <v>331839000000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D1C4-48E4-C84A-BE5F-47EB6015AF70}">
  <dimension ref="A1:L46"/>
  <sheetViews>
    <sheetView workbookViewId="0">
      <selection activeCell="E52" sqref="E52"/>
    </sheetView>
  </sheetViews>
  <sheetFormatPr baseColWidth="10" defaultRowHeight="15" x14ac:dyDescent="0.2"/>
  <cols>
    <col min="1" max="1" width="9" customWidth="1"/>
    <col min="2" max="4" width="15.6640625" bestFit="1" customWidth="1"/>
    <col min="5" max="6" width="12.1640625" bestFit="1" customWidth="1"/>
    <col min="7" max="7" width="7.33203125" bestFit="1" customWidth="1"/>
    <col min="8" max="8" width="15.6640625" bestFit="1" customWidth="1"/>
    <col min="10" max="10" width="17.83203125" bestFit="1" customWidth="1"/>
    <col min="11" max="11" width="13.1640625" bestFit="1" customWidth="1"/>
    <col min="12" max="12" width="15.6640625" bestFit="1" customWidth="1"/>
  </cols>
  <sheetData>
    <row r="1" spans="1:12" x14ac:dyDescent="0.2">
      <c r="A1" s="3" t="s">
        <v>8</v>
      </c>
      <c r="B1" s="3" t="s">
        <v>4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/>
      <c r="J1" s="3" t="s">
        <v>15</v>
      </c>
    </row>
    <row r="2" spans="1:12" x14ac:dyDescent="0.2">
      <c r="A2">
        <v>2019</v>
      </c>
      <c r="B2" s="2">
        <v>260174000000</v>
      </c>
      <c r="C2" s="2">
        <v>63930000000</v>
      </c>
      <c r="D2" s="2">
        <v>55256000000</v>
      </c>
      <c r="E2">
        <v>12547000000</v>
      </c>
      <c r="F2">
        <v>10495000000</v>
      </c>
      <c r="G2" s="1">
        <v>0.15</v>
      </c>
      <c r="H2" s="1">
        <f>C2*(1-G2)+E2-F2</f>
        <v>56392500000</v>
      </c>
      <c r="J2">
        <f>(H8/H2)^(1/6)-1</f>
        <v>0.12128210073442891</v>
      </c>
    </row>
    <row r="3" spans="1:12" x14ac:dyDescent="0.2">
      <c r="A3">
        <v>2020</v>
      </c>
      <c r="B3" s="2">
        <v>274515000000</v>
      </c>
      <c r="C3" s="2">
        <v>66288000000</v>
      </c>
      <c r="D3" s="2">
        <v>57411000000</v>
      </c>
      <c r="E3">
        <v>11056000000</v>
      </c>
      <c r="F3">
        <v>7309000000</v>
      </c>
      <c r="G3" s="1">
        <v>0.15</v>
      </c>
      <c r="H3" s="1">
        <f t="shared" ref="H3:H8" si="0">C3*(1-G3)+E3-F3</f>
        <v>60091800000</v>
      </c>
    </row>
    <row r="4" spans="1:12" x14ac:dyDescent="0.2">
      <c r="A4">
        <v>2021</v>
      </c>
      <c r="B4" s="2">
        <v>365817000000</v>
      </c>
      <c r="C4" s="2">
        <v>108949000000</v>
      </c>
      <c r="D4" s="2">
        <v>94680000000</v>
      </c>
      <c r="E4">
        <v>11284000000</v>
      </c>
      <c r="F4" s="2">
        <v>11085000000</v>
      </c>
      <c r="G4" s="1">
        <v>0.15</v>
      </c>
      <c r="H4" s="1">
        <f t="shared" si="0"/>
        <v>92805650000</v>
      </c>
    </row>
    <row r="5" spans="1:12" x14ac:dyDescent="0.2">
      <c r="A5">
        <v>2022</v>
      </c>
      <c r="B5" s="2">
        <v>394328000000</v>
      </c>
      <c r="C5" s="2">
        <v>119437000000</v>
      </c>
      <c r="D5" s="2">
        <v>99803000000</v>
      </c>
      <c r="E5" s="2">
        <v>11104000000</v>
      </c>
      <c r="F5" s="2">
        <v>10708000000</v>
      </c>
      <c r="G5" s="1">
        <v>0.15</v>
      </c>
      <c r="H5" s="1">
        <f t="shared" si="0"/>
        <v>101917450000</v>
      </c>
    </row>
    <row r="6" spans="1:12" x14ac:dyDescent="0.2">
      <c r="A6">
        <v>2023</v>
      </c>
      <c r="B6" s="2">
        <v>383285000000</v>
      </c>
      <c r="C6" s="2">
        <v>114301000000</v>
      </c>
      <c r="D6" s="2">
        <v>96995000000</v>
      </c>
      <c r="E6">
        <v>11519000000</v>
      </c>
      <c r="F6">
        <v>10959000000</v>
      </c>
      <c r="G6" s="1">
        <v>0.15</v>
      </c>
      <c r="H6" s="1">
        <f t="shared" si="0"/>
        <v>97715850000</v>
      </c>
    </row>
    <row r="7" spans="1:12" x14ac:dyDescent="0.2">
      <c r="A7">
        <v>2024</v>
      </c>
      <c r="B7" s="2">
        <v>391035000000</v>
      </c>
      <c r="C7" s="2">
        <v>123216000000</v>
      </c>
      <c r="D7" s="2">
        <v>93736000000</v>
      </c>
      <c r="E7">
        <v>11445000000</v>
      </c>
      <c r="F7">
        <v>9447000000</v>
      </c>
      <c r="G7" s="1">
        <v>0.15</v>
      </c>
      <c r="H7" s="1">
        <f t="shared" si="0"/>
        <v>106731600000</v>
      </c>
    </row>
    <row r="8" spans="1:12" x14ac:dyDescent="0.2">
      <c r="A8">
        <v>2025</v>
      </c>
      <c r="B8" s="2">
        <v>416161000000</v>
      </c>
      <c r="C8" s="2">
        <v>133050000000</v>
      </c>
      <c r="D8" s="2">
        <v>112010000000</v>
      </c>
      <c r="E8" s="2">
        <v>11698000000</v>
      </c>
      <c r="F8">
        <v>12715000000</v>
      </c>
      <c r="G8" s="1">
        <v>0.15</v>
      </c>
      <c r="H8" s="1">
        <f t="shared" si="0"/>
        <v>112075500000</v>
      </c>
    </row>
    <row r="11" spans="1:12" x14ac:dyDescent="0.2">
      <c r="A11" t="s">
        <v>8</v>
      </c>
      <c r="H11" t="s">
        <v>17</v>
      </c>
      <c r="I11" t="s">
        <v>16</v>
      </c>
      <c r="K11" t="s">
        <v>21</v>
      </c>
      <c r="L11" t="s">
        <v>22</v>
      </c>
    </row>
    <row r="12" spans="1:12" x14ac:dyDescent="0.2">
      <c r="A12">
        <v>2026</v>
      </c>
      <c r="H12" s="2">
        <f>H8*(1+I12)</f>
        <v>125524560000.00002</v>
      </c>
      <c r="I12">
        <v>0.12</v>
      </c>
      <c r="K12">
        <f>1/(1+$J$19)^1</f>
        <v>0.9174311926605504</v>
      </c>
      <c r="L12" s="2">
        <f>H12*K12</f>
        <v>115160146788.99083</v>
      </c>
    </row>
    <row r="13" spans="1:12" x14ac:dyDescent="0.2">
      <c r="A13">
        <v>2027</v>
      </c>
      <c r="H13" s="2">
        <f>H12*(1+I13)</f>
        <v>138077016000.00003</v>
      </c>
      <c r="I13">
        <v>0.1</v>
      </c>
      <c r="K13">
        <f>1/(1+$J$19)^2</f>
        <v>0.84167999326655996</v>
      </c>
      <c r="L13" s="2">
        <f t="shared" ref="L13:L16" si="1">H13*K13</f>
        <v>116216661897.14671</v>
      </c>
    </row>
    <row r="14" spans="1:12" x14ac:dyDescent="0.2">
      <c r="A14">
        <v>2028</v>
      </c>
      <c r="H14" s="2">
        <f t="shared" ref="H14:H16" si="2">H13*(1+I14)</f>
        <v>149123177280.00003</v>
      </c>
      <c r="I14">
        <v>0.08</v>
      </c>
      <c r="K14">
        <f>1/(1+$J$19)^3</f>
        <v>0.77218348006106419</v>
      </c>
      <c r="L14" s="2">
        <f t="shared" si="1"/>
        <v>115150453989.83345</v>
      </c>
    </row>
    <row r="15" spans="1:12" x14ac:dyDescent="0.2">
      <c r="A15">
        <v>2029</v>
      </c>
      <c r="H15" s="2">
        <f t="shared" si="2"/>
        <v>158816183803.20001</v>
      </c>
      <c r="I15">
        <v>6.5000000000000002E-2</v>
      </c>
      <c r="K15">
        <f>1/(1+$J$19)^4</f>
        <v>0.7084252110651964</v>
      </c>
      <c r="L15" s="2">
        <f t="shared" si="1"/>
        <v>112509388531.351</v>
      </c>
    </row>
    <row r="16" spans="1:12" x14ac:dyDescent="0.2">
      <c r="A16">
        <v>2030</v>
      </c>
      <c r="H16" s="2">
        <f t="shared" si="2"/>
        <v>166756992993.36002</v>
      </c>
      <c r="I16">
        <v>0.05</v>
      </c>
      <c r="K16">
        <f>1/(1+$J$19)^5</f>
        <v>0.64993138629834524</v>
      </c>
      <c r="L16" s="2">
        <f t="shared" si="1"/>
        <v>108380603631.11792</v>
      </c>
    </row>
    <row r="18" spans="10:10" x14ac:dyDescent="0.2">
      <c r="J18" t="s">
        <v>18</v>
      </c>
    </row>
    <row r="19" spans="10:10" x14ac:dyDescent="0.2">
      <c r="J19">
        <v>0.09</v>
      </c>
    </row>
    <row r="20" spans="10:10" x14ac:dyDescent="0.2">
      <c r="J20" t="s">
        <v>19</v>
      </c>
    </row>
    <row r="21" spans="10:10" x14ac:dyDescent="0.2">
      <c r="J21">
        <v>2.5000000000000001E-2</v>
      </c>
    </row>
    <row r="22" spans="10:10" x14ac:dyDescent="0.2">
      <c r="J22" t="s">
        <v>20</v>
      </c>
    </row>
    <row r="23" spans="10:10" x14ac:dyDescent="0.2">
      <c r="J23" s="2">
        <f>H16*(1+J21)/(J19-J21)</f>
        <v>2629629504895.292</v>
      </c>
    </row>
    <row r="24" spans="10:10" x14ac:dyDescent="0.2">
      <c r="J24" t="s">
        <v>23</v>
      </c>
    </row>
    <row r="25" spans="10:10" x14ac:dyDescent="0.2">
      <c r="J25" s="2">
        <f>J23*K16</f>
        <v>1709078749567.6284</v>
      </c>
    </row>
    <row r="26" spans="10:10" x14ac:dyDescent="0.2">
      <c r="J26" t="s">
        <v>24</v>
      </c>
    </row>
    <row r="27" spans="10:10" x14ac:dyDescent="0.2">
      <c r="J27" s="2">
        <f>SUM(L12:L16)+J25</f>
        <v>2276496004406.0684</v>
      </c>
    </row>
    <row r="28" spans="10:10" x14ac:dyDescent="0.2">
      <c r="J28" t="s">
        <v>25</v>
      </c>
    </row>
    <row r="29" spans="10:10" x14ac:dyDescent="0.2">
      <c r="J29" s="2">
        <v>112380000000</v>
      </c>
    </row>
    <row r="30" spans="10:10" x14ac:dyDescent="0.2">
      <c r="J30" t="s">
        <v>26</v>
      </c>
    </row>
    <row r="31" spans="10:10" x14ac:dyDescent="0.2">
      <c r="J31">
        <v>35934000000</v>
      </c>
    </row>
    <row r="32" spans="10:10" x14ac:dyDescent="0.2">
      <c r="J32" t="s">
        <v>27</v>
      </c>
    </row>
    <row r="33" spans="1:10" x14ac:dyDescent="0.2">
      <c r="J33">
        <v>15000000000</v>
      </c>
    </row>
    <row r="34" spans="1:10" x14ac:dyDescent="0.2">
      <c r="J34" t="s">
        <v>28</v>
      </c>
    </row>
    <row r="35" spans="1:10" x14ac:dyDescent="0.2">
      <c r="J35" s="2">
        <f>J29-J31</f>
        <v>76446000000</v>
      </c>
    </row>
    <row r="36" spans="1:10" x14ac:dyDescent="0.2">
      <c r="J36" t="s">
        <v>29</v>
      </c>
    </row>
    <row r="37" spans="1:10" x14ac:dyDescent="0.2">
      <c r="J37" s="2">
        <f>J27-J35</f>
        <v>2200050004406.0684</v>
      </c>
    </row>
    <row r="38" spans="1:10" x14ac:dyDescent="0.2">
      <c r="J38" t="s">
        <v>30</v>
      </c>
    </row>
    <row r="39" spans="1:10" x14ac:dyDescent="0.2">
      <c r="J39">
        <f>J37/J33</f>
        <v>146.6700002937379</v>
      </c>
    </row>
    <row r="41" spans="1:10" x14ac:dyDescent="0.2">
      <c r="B41">
        <v>7.0000000000000007E-2</v>
      </c>
      <c r="C41">
        <v>0.08</v>
      </c>
      <c r="D41">
        <v>0.09</v>
      </c>
      <c r="E41">
        <v>0.1</v>
      </c>
      <c r="F41">
        <v>0.11</v>
      </c>
    </row>
    <row r="42" spans="1:10" x14ac:dyDescent="0.2">
      <c r="A42">
        <v>1.4999999999999999E-2</v>
      </c>
      <c r="B42">
        <f>($H$12/(1+B$41)^1+$H$13/(1+B$41)^2+$H$14/(1+B$41)^3+$H$15/(1+B$41)^4+$H$16/(1+B$41)^5+($H$16*(1+$A42)/(B$41-$A42))/(1+B$41)^5-$J$35)/$J$33</f>
        <v>181.1609399105418</v>
      </c>
      <c r="C42">
        <f t="shared" ref="C42:F46" si="3">($H$12/(1+C$41)^1+$H$13/(1+C$41)^2+$H$14/(1+C$41)^3+$H$15/(1+C$41)^4+$H$16/(1+C$41)^5+($H$16*(1+$A42)/(C$41-$A42))/(1+C$41)^5-$J$35)/$J$33</f>
        <v>151.93240044698859</v>
      </c>
      <c r="D42">
        <f t="shared" si="3"/>
        <v>130.51480604308239</v>
      </c>
      <c r="E42">
        <f t="shared" si="3"/>
        <v>114.15069304572413</v>
      </c>
      <c r="F42">
        <f t="shared" si="3"/>
        <v>101.24366758031367</v>
      </c>
    </row>
    <row r="43" spans="1:10" x14ac:dyDescent="0.2">
      <c r="A43">
        <v>0.02</v>
      </c>
      <c r="B43">
        <f t="shared" ref="B43:B46" si="4">($H$12/(1+B$41)^1+$H$13/(1+B$41)^2+$H$14/(1+B$41)^3+$H$15/(1+B$41)^4+$H$16/(1+B$41)^5+($H$16*(1+$A43)/(B$41-$A43))/(1+B$41)^5-$J$35)/$J$33</f>
        <v>196.58131706570271</v>
      </c>
      <c r="C43">
        <f t="shared" si="3"/>
        <v>162.40858574721844</v>
      </c>
      <c r="D43">
        <f t="shared" si="3"/>
        <v>138.01543194517248</v>
      </c>
      <c r="E43">
        <f t="shared" si="3"/>
        <v>119.73389255507135</v>
      </c>
      <c r="F43">
        <f t="shared" si="3"/>
        <v>105.52624054093776</v>
      </c>
    </row>
    <row r="44" spans="1:10" x14ac:dyDescent="0.2">
      <c r="A44">
        <v>2.5000000000000001E-2</v>
      </c>
      <c r="B44">
        <f t="shared" si="4"/>
        <v>215.42844469978814</v>
      </c>
      <c r="C44">
        <f t="shared" si="3"/>
        <v>174.78953201112631</v>
      </c>
      <c r="D44">
        <f t="shared" si="3"/>
        <v>146.6700002937379</v>
      </c>
      <c r="E44">
        <f t="shared" si="3"/>
        <v>126.06151866566485</v>
      </c>
      <c r="F44">
        <f t="shared" si="3"/>
        <v>110.31264561457638</v>
      </c>
    </row>
    <row r="45" spans="1:10" x14ac:dyDescent="0.2">
      <c r="A45">
        <v>0.03</v>
      </c>
      <c r="B45">
        <f t="shared" si="4"/>
        <v>238.98735424239501</v>
      </c>
      <c r="C45">
        <f t="shared" si="3"/>
        <v>189.64666752781585</v>
      </c>
      <c r="D45">
        <f t="shared" si="3"/>
        <v>156.76699670039767</v>
      </c>
      <c r="E45">
        <f t="shared" si="3"/>
        <v>133.29309136348607</v>
      </c>
      <c r="F45">
        <f t="shared" si="3"/>
        <v>115.69735132241988</v>
      </c>
    </row>
    <row r="46" spans="1:10" x14ac:dyDescent="0.2">
      <c r="A46">
        <v>3.5000000000000003E-2</v>
      </c>
      <c r="B46">
        <f t="shared" si="4"/>
        <v>269.27738079717528</v>
      </c>
      <c r="C46">
        <f t="shared" si="3"/>
        <v>207.80538871488082</v>
      </c>
      <c r="D46">
        <f t="shared" si="3"/>
        <v>168.69981063554093</v>
      </c>
      <c r="E46">
        <f t="shared" si="3"/>
        <v>141.63721370712588</v>
      </c>
      <c r="F46">
        <f t="shared" si="3"/>
        <v>121.80001779130914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045F-598C-2F45-881A-D76115952362}">
  <dimension ref="A1:O25"/>
  <sheetViews>
    <sheetView workbookViewId="0">
      <selection activeCell="A26" sqref="A26"/>
    </sheetView>
  </sheetViews>
  <sheetFormatPr baseColWidth="10" defaultRowHeight="15" x14ac:dyDescent="0.2"/>
  <cols>
    <col min="1" max="1" width="35.5" bestFit="1" customWidth="1"/>
    <col min="2" max="2" width="11" bestFit="1" customWidth="1"/>
    <col min="3" max="3" width="14.6640625" bestFit="1" customWidth="1"/>
    <col min="4" max="6" width="15.6640625" bestFit="1" customWidth="1"/>
    <col min="7" max="7" width="14.6640625" bestFit="1" customWidth="1"/>
    <col min="8" max="9" width="15.6640625" bestFit="1" customWidth="1"/>
    <col min="10" max="10" width="13.1640625" bestFit="1" customWidth="1"/>
    <col min="11" max="11" width="16.83203125" bestFit="1" customWidth="1"/>
    <col min="12" max="12" width="14.1640625" bestFit="1" customWidth="1"/>
  </cols>
  <sheetData>
    <row r="1" spans="1:15" x14ac:dyDescent="0.2">
      <c r="A1" t="s">
        <v>31</v>
      </c>
      <c r="B1" t="s">
        <v>32</v>
      </c>
      <c r="C1" t="s">
        <v>33</v>
      </c>
      <c r="D1" t="s">
        <v>4</v>
      </c>
      <c r="E1" t="s">
        <v>34</v>
      </c>
      <c r="F1" t="s">
        <v>2</v>
      </c>
      <c r="G1" t="s">
        <v>11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</row>
    <row r="2" spans="1:15" x14ac:dyDescent="0.2">
      <c r="A2" t="s">
        <v>5</v>
      </c>
      <c r="B2" s="1">
        <v>249.75</v>
      </c>
      <c r="C2" s="2">
        <v>15000000000</v>
      </c>
      <c r="D2" s="2">
        <v>416161000000</v>
      </c>
      <c r="E2" s="2">
        <v>133050000000</v>
      </c>
      <c r="F2" s="2">
        <v>112010000000</v>
      </c>
      <c r="G2" s="2">
        <v>11698000000</v>
      </c>
      <c r="H2" s="2">
        <v>112380000000</v>
      </c>
      <c r="I2" s="2">
        <v>35934000000</v>
      </c>
      <c r="J2" s="2">
        <f>E2+G2</f>
        <v>144748000000</v>
      </c>
      <c r="K2" s="2">
        <f>B2*C2</f>
        <v>3746250000000</v>
      </c>
      <c r="L2" s="2">
        <f>K2+H2-I2</f>
        <v>3822696000000</v>
      </c>
      <c r="M2">
        <f>L2/D2</f>
        <v>9.1856180660850004</v>
      </c>
      <c r="N2">
        <f>L2/J2</f>
        <v>26.40931826346478</v>
      </c>
      <c r="O2">
        <f>K2/F2</f>
        <v>33.445674493348811</v>
      </c>
    </row>
    <row r="3" spans="1:15" x14ac:dyDescent="0.2">
      <c r="A3" t="s">
        <v>7</v>
      </c>
      <c r="B3" s="1">
        <v>483.24</v>
      </c>
      <c r="C3" s="2">
        <v>7460000000</v>
      </c>
      <c r="D3" s="2">
        <v>281724000000</v>
      </c>
      <c r="E3" s="2">
        <v>128528000000</v>
      </c>
      <c r="F3" s="2">
        <v>101832000000</v>
      </c>
      <c r="G3" s="2">
        <v>34153000000</v>
      </c>
      <c r="H3" s="2">
        <v>112180000000</v>
      </c>
      <c r="I3" s="2">
        <v>94565000000</v>
      </c>
      <c r="J3" s="2">
        <f t="shared" ref="J3:J4" si="0">E3+G3</f>
        <v>162681000000</v>
      </c>
      <c r="K3" s="2">
        <f t="shared" ref="K3:K4" si="1">B3*C3</f>
        <v>3604970400000</v>
      </c>
      <c r="L3" s="2">
        <f t="shared" ref="L3:L4" si="2">K3+H3-I3</f>
        <v>3622585400000</v>
      </c>
      <c r="M3">
        <f t="shared" ref="M3:M4" si="3">L3/D3</f>
        <v>12.858632562366004</v>
      </c>
      <c r="N3">
        <f t="shared" ref="N3:N4" si="4">L3/J3</f>
        <v>22.268030071120783</v>
      </c>
      <c r="O3">
        <f t="shared" ref="O3:O4" si="5">K3/F3</f>
        <v>35.401154843271271</v>
      </c>
    </row>
    <row r="4" spans="1:15" x14ac:dyDescent="0.2">
      <c r="A4" t="s">
        <v>6</v>
      </c>
      <c r="B4" s="1">
        <v>333.71</v>
      </c>
      <c r="C4" s="2">
        <v>12230000000</v>
      </c>
      <c r="D4" s="2">
        <v>402836000000</v>
      </c>
      <c r="E4" s="2">
        <v>129039000000</v>
      </c>
      <c r="F4" s="2">
        <v>132170000000</v>
      </c>
      <c r="G4" s="2">
        <v>21136000000</v>
      </c>
      <c r="H4" s="2">
        <v>59290000000</v>
      </c>
      <c r="I4" s="2">
        <v>126840000000</v>
      </c>
      <c r="J4" s="2">
        <f t="shared" si="0"/>
        <v>150175000000</v>
      </c>
      <c r="K4" s="2">
        <f t="shared" si="1"/>
        <v>4081273299999.9995</v>
      </c>
      <c r="L4" s="2">
        <f t="shared" si="2"/>
        <v>4013723299999.9995</v>
      </c>
      <c r="M4">
        <f t="shared" si="3"/>
        <v>9.9636658590592688</v>
      </c>
      <c r="N4">
        <f t="shared" si="4"/>
        <v>26.726973863825535</v>
      </c>
      <c r="O4">
        <f t="shared" si="5"/>
        <v>30.878968752364376</v>
      </c>
    </row>
    <row r="6" spans="1:15" x14ac:dyDescent="0.2">
      <c r="A6" t="s">
        <v>43</v>
      </c>
      <c r="M6">
        <f>MEDIAN(M3:M4)</f>
        <v>11.411149210712637</v>
      </c>
      <c r="N6">
        <f>MEDIAN(N3:N4)</f>
        <v>24.497501967473159</v>
      </c>
      <c r="O6">
        <f>MEDIAN(O3:O4)</f>
        <v>33.140061797817822</v>
      </c>
    </row>
    <row r="8" spans="1:15" x14ac:dyDescent="0.2">
      <c r="A8" t="s">
        <v>44</v>
      </c>
    </row>
    <row r="9" spans="1:15" x14ac:dyDescent="0.2">
      <c r="A9" s="2">
        <f>M6*D2</f>
        <v>4748875266679.3818</v>
      </c>
    </row>
    <row r="10" spans="1:15" x14ac:dyDescent="0.2">
      <c r="A10" t="s">
        <v>45</v>
      </c>
    </row>
    <row r="11" spans="1:15" x14ac:dyDescent="0.2">
      <c r="A11" s="2">
        <f>N6*J2</f>
        <v>3545964414787.8047</v>
      </c>
    </row>
    <row r="12" spans="1:15" x14ac:dyDescent="0.2">
      <c r="A12" t="s">
        <v>46</v>
      </c>
    </row>
    <row r="13" spans="1:15" x14ac:dyDescent="0.2">
      <c r="A13" s="2">
        <f>O6*F2</f>
        <v>3712018321973.5742</v>
      </c>
    </row>
    <row r="15" spans="1:15" x14ac:dyDescent="0.2">
      <c r="A15" t="s">
        <v>47</v>
      </c>
    </row>
    <row r="16" spans="1:15" x14ac:dyDescent="0.2">
      <c r="A16" s="2">
        <f>A9-(H2-I2)</f>
        <v>4672429266679.3818</v>
      </c>
    </row>
    <row r="17" spans="1:1" x14ac:dyDescent="0.2">
      <c r="A17" t="s">
        <v>48</v>
      </c>
    </row>
    <row r="18" spans="1:1" x14ac:dyDescent="0.2">
      <c r="A18" s="2">
        <f>A11-(H2-I2)</f>
        <v>3469518414787.8047</v>
      </c>
    </row>
    <row r="20" spans="1:1" x14ac:dyDescent="0.2">
      <c r="A20" t="s">
        <v>49</v>
      </c>
    </row>
    <row r="21" spans="1:1" x14ac:dyDescent="0.2">
      <c r="A21">
        <f>A16/C2</f>
        <v>311.4952844452921</v>
      </c>
    </row>
    <row r="22" spans="1:1" x14ac:dyDescent="0.2">
      <c r="A22" t="s">
        <v>50</v>
      </c>
    </row>
    <row r="23" spans="1:1" x14ac:dyDescent="0.2">
      <c r="A23">
        <f>A18/C2</f>
        <v>231.30122765252031</v>
      </c>
    </row>
    <row r="24" spans="1:1" x14ac:dyDescent="0.2">
      <c r="A24" t="s">
        <v>51</v>
      </c>
    </row>
    <row r="25" spans="1:1" x14ac:dyDescent="0.2">
      <c r="A25">
        <f>A13/C2</f>
        <v>247.46788813157161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DCF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Mirzaev, Abdulloh</cp:lastModifiedBy>
  <dcterms:created xsi:type="dcterms:W3CDTF">2026-09-03T20:09:34Z</dcterms:created>
  <dcterms:modified xsi:type="dcterms:W3CDTF">2026-09-05T15:45:20Z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9f8e79-315a-4212-88ab-dacdbf25cea9_Enabled">
    <vt:lpwstr>true</vt:lpwstr>
  </property>
  <property fmtid="{D5CDD505-2E9C-101B-9397-08002B2CF9AE}" pid="3" name="MSIP_Label_2d9f8e79-315a-4212-88ab-dacdbf25cea9_SetDate">
    <vt:lpwstr>2026-09-05T14:31:55Z</vt:lpwstr>
  </property>
  <property fmtid="{D5CDD505-2E9C-101B-9397-08002B2CF9AE}" pid="4" name="MSIP_Label_2d9f8e79-315a-4212-88ab-dacdbf25cea9_Method">
    <vt:lpwstr>Standard</vt:lpwstr>
  </property>
  <property fmtid="{D5CDD505-2E9C-101B-9397-08002B2CF9AE}" pid="5" name="MSIP_Label_2d9f8e79-315a-4212-88ab-dacdbf25cea9_Name">
    <vt:lpwstr>defa4170-0d19-0005-0004-bc88714345d2</vt:lpwstr>
  </property>
  <property fmtid="{D5CDD505-2E9C-101B-9397-08002B2CF9AE}" pid="6" name="MSIP_Label_2d9f8e79-315a-4212-88ab-dacdbf25cea9_SiteId">
    <vt:lpwstr>a7d57d32-caf7-498d-a18f-e429f8df1f68</vt:lpwstr>
  </property>
  <property fmtid="{D5CDD505-2E9C-101B-9397-08002B2CF9AE}" pid="7" name="MSIP_Label_2d9f8e79-315a-4212-88ab-dacdbf25cea9_ActionId">
    <vt:lpwstr>010060b7-484f-46d4-be0f-92b8e06a2d5f</vt:lpwstr>
  </property>
  <property fmtid="{D5CDD505-2E9C-101B-9397-08002B2CF9AE}" pid="8" name="MSIP_Label_2d9f8e79-315a-4212-88ab-dacdbf25cea9_ContentBits">
    <vt:lpwstr>0</vt:lpwstr>
  </property>
  <property fmtid="{D5CDD505-2E9C-101B-9397-08002B2CF9AE}" pid="9" name="MSIP_Label_2d9f8e79-315a-4212-88ab-dacdbf25cea9_Tag">
    <vt:lpwstr>50, 3, 0, 1</vt:lpwstr>
  </property>
</Properties>
</file>